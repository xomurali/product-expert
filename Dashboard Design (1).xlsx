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standex-my.sharepoint.com/personal/vgrinberg_gsengineering_net/Documents/Planning/Dashboard Design/"/>
    </mc:Choice>
  </mc:AlternateContent>
  <xr:revisionPtr revIDLastSave="0" documentId="8_{5ABDCE62-4246-4FDB-AAE2-D83157B6092C}" xr6:coauthVersionLast="47" xr6:coauthVersionMax="47" xr10:uidLastSave="{00000000-0000-0000-0000-000000000000}"/>
  <bookViews>
    <workbookView xWindow="-28920" yWindow="-120" windowWidth="29040" windowHeight="15720" tabRatio="199" xr2:uid="{FAFD776A-9582-48A5-A33E-97D88C6457CA}"/>
  </bookViews>
  <sheets>
    <sheet name="OpEx Dashboard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C37" i="2"/>
  <c r="U12" i="1"/>
  <c r="U13" i="1"/>
  <c r="U14" i="1"/>
  <c r="U17" i="1"/>
  <c r="U21" i="1"/>
  <c r="U22" i="1"/>
  <c r="U23" i="1"/>
  <c r="U24" i="1"/>
  <c r="U11" i="1"/>
  <c r="B46" i="1"/>
  <c r="B39" i="1"/>
  <c r="E13" i="1"/>
  <c r="E9" i="1"/>
  <c r="I12" i="1" l="1"/>
  <c r="I13" i="1"/>
  <c r="I11" i="1"/>
  <c r="S37" i="1"/>
  <c r="I14" i="1"/>
  <c r="G22" i="1"/>
  <c r="I22" i="1" s="1"/>
  <c r="I21" i="1"/>
  <c r="I15" i="1"/>
  <c r="C10" i="1"/>
  <c r="D10" i="1"/>
  <c r="B10" i="1"/>
  <c r="I29" i="1"/>
  <c r="I28" i="1"/>
  <c r="L22" i="1" l="1"/>
  <c r="L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tc={EE655299-66D2-4093-B424-85859A28446F}</author>
    <author>tc={57C94868-BA70-4330-B4AA-1BD51F92820D}</author>
    <author>tc={C420EE0C-99E1-405A-94EF-694B02F079A0}</author>
    <author>tc={EB9B655B-5BD9-4674-908F-0953B187F28F}</author>
    <author>tc={AEC26391-89AE-41EC-80B8-27FD3EC82AF7}</author>
    <author>tc={3AADF68D-5196-4340-9A05-141466325235}</author>
    <author>tc={4F49C1BC-8FCF-42BF-AFF9-6314077D0780}</author>
    <author>tc={6E2E478C-B795-434A-8C52-64A710EC8D42}</author>
    <author>tc={8230B8F4-5DDC-488B-B270-BC9CDA82E6F2}</author>
  </authors>
  <commentList>
    <comment ref="A9" authorId="0" shapeId="0" xr:uid="{EE655299-66D2-4093-B424-85859A28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Rework scanned differently vs. regular labor</t>
      </text>
    </comment>
    <comment ref="A10" authorId="1" shapeId="0" xr:uid="{57C94868-BA70-4330-B4AA-1BD51F92820D}">
      <text>
        <t>[Threaded comment]
Your version of Excel allows you to read this threaded comment; however, any edits to it will get removed if the file is opened in a newer version of Excel. Learn more: https://go.microsoft.com/fwlink/?linkid=870924
Comment:
    DL HR is Scanned Productive Hours</t>
      </text>
    </comment>
    <comment ref="A13" authorId="2" shapeId="0" xr:uid="{C420EE0C-99E1-405A-94EF-694B02F079A0}">
      <text>
        <t>[Threaded comment]
Your version of Excel allows you to read this threaded comment; however, any edits to it will get removed if the file is opened in a newer version of Excel. Learn more: https://go.microsoft.com/fwlink/?linkid=870924
Comment:
    Jobs CB / Jobs Shipped</t>
      </text>
    </comment>
    <comment ref="A15" authorId="3" shapeId="0" xr:uid="{EB9B655B-5BD9-4674-908F-0953B187F28F}">
      <text>
        <t>[Threaded comment]
Your version of Excel allows you to read this threaded comment; however, any edits to it will get removed if the file is opened in a newer version of Excel. Learn more: https://go.microsoft.com/fwlink/?linkid=870924
Comment:
    DL HR is Scanned Scanned Productive Hour</t>
      </text>
    </comment>
    <comment ref="N21" authorId="4" shapeId="0" xr:uid="{AEC26391-89AE-41EC-80B8-27FD3EC8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for details (regretted, unregretted)</t>
      </text>
    </comment>
    <comment ref="P28" authorId="5" shapeId="0" xr:uid="{3AADF68D-5196-4340-9A05-1414663252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EBIDTA</t>
      </text>
    </comment>
    <comment ref="A33" authorId="6" shapeId="0" xr:uid="{4F49C1BC-8FCF-42BF-AFF9-6314077D0780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have a safety APP?</t>
      </text>
    </comment>
    <comment ref="B39" authorId="7" shapeId="0" xr:uid="{6E2E478C-B795-434A-8C52-64A710EC8D4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for detailed reports.</t>
      </text>
    </comment>
    <comment ref="B46" authorId="8" shapeId="0" xr:uid="{8230B8F4-5DDC-488B-B270-BC9CDA82E6F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for detailed reports.</t>
      </text>
    </comment>
  </commentList>
</comments>
</file>

<file path=xl/sharedStrings.xml><?xml version="1.0" encoding="utf-8"?>
<sst xmlns="http://schemas.openxmlformats.org/spreadsheetml/2006/main" count="223" uniqueCount="147">
  <si>
    <t>PROTOTYPE NA OPEX DASHBOARD</t>
  </si>
  <si>
    <t>Filters</t>
  </si>
  <si>
    <t>Technology Specific Dashboard Links</t>
  </si>
  <si>
    <t>Location (Region or Locations)</t>
  </si>
  <si>
    <t>Technology</t>
  </si>
  <si>
    <t>Part Production</t>
  </si>
  <si>
    <t>Soft Trim</t>
  </si>
  <si>
    <t>Laser Dashboard</t>
  </si>
  <si>
    <t>Quality</t>
  </si>
  <si>
    <t>SAP + HRIS</t>
  </si>
  <si>
    <t>Efficiency</t>
  </si>
  <si>
    <t>People</t>
  </si>
  <si>
    <t>Revenue Breakdown</t>
  </si>
  <si>
    <t>TO DO:</t>
  </si>
  <si>
    <t>Trend</t>
  </si>
  <si>
    <t>Net Revenue per DL Hour</t>
  </si>
  <si>
    <t>- AUTOMATED PRICING AND QUOTING</t>
  </si>
  <si>
    <t>Month</t>
  </si>
  <si>
    <t>Quarter</t>
  </si>
  <si>
    <t>FYTD</t>
  </si>
  <si>
    <t>YoY (Same Month)</t>
  </si>
  <si>
    <t>Total FTE</t>
  </si>
  <si>
    <t>Last Month</t>
  </si>
  <si>
    <t>LM %</t>
  </si>
  <si>
    <t>- VERY GOOD HOURS ESTIMATION</t>
  </si>
  <si>
    <t>EoL Rework %</t>
  </si>
  <si>
    <t>Total Admin FTE</t>
  </si>
  <si>
    <t>Net Avg. Price / DL Clocked Hour</t>
  </si>
  <si>
    <t>- VERY GOOD PRODUCTION PLANNING</t>
  </si>
  <si>
    <t>EoL Rework Cost / DL HR</t>
  </si>
  <si>
    <t>- 100% SCANNING COMPLIANCE</t>
  </si>
  <si>
    <t>EoL Rework $</t>
  </si>
  <si>
    <t>Total DL Clocked Hrs</t>
  </si>
  <si>
    <t>Total IDL</t>
  </si>
  <si>
    <t>DL</t>
  </si>
  <si>
    <t>…</t>
  </si>
  <si>
    <t>Total DL Quoted Hrs</t>
  </si>
  <si>
    <t>DL - External</t>
  </si>
  <si>
    <t>Raw Comeback %</t>
  </si>
  <si>
    <t>Total DL Planned Hrs</t>
  </si>
  <si>
    <t>Total IDL PT FTE</t>
  </si>
  <si>
    <t>Technician Ext. Travel Expenses</t>
  </si>
  <si>
    <t>Mix-Adj. CB %</t>
  </si>
  <si>
    <t>Total DL Actual Hrs</t>
  </si>
  <si>
    <t>IDL</t>
  </si>
  <si>
    <t>Claims Cost / DL HR</t>
  </si>
  <si>
    <t>Productive Hrs</t>
  </si>
  <si>
    <t>Total DL</t>
  </si>
  <si>
    <t>Material Cost</t>
  </si>
  <si>
    <t>Claims Cost $</t>
  </si>
  <si>
    <t>Non-Productive Hrs</t>
  </si>
  <si>
    <t>Repairs</t>
  </si>
  <si>
    <t>Idle Hours</t>
  </si>
  <si>
    <t>Total DL PT</t>
  </si>
  <si>
    <t>Utilities</t>
  </si>
  <si>
    <t>Re-Work Hours</t>
  </si>
  <si>
    <t>Other Factory Expense</t>
  </si>
  <si>
    <t>OT Cost</t>
  </si>
  <si>
    <t>GM (%)</t>
  </si>
  <si>
    <t>OT Hours</t>
  </si>
  <si>
    <t>Turnover</t>
  </si>
  <si>
    <t>Admin</t>
  </si>
  <si>
    <t>Quality Reason  Breakdown</t>
  </si>
  <si>
    <t>OT % / OT / Revenue</t>
  </si>
  <si>
    <t>Sales</t>
  </si>
  <si>
    <t>Scanned Hour Efficiency</t>
  </si>
  <si>
    <t>Culture</t>
  </si>
  <si>
    <t>Depreciation</t>
  </si>
  <si>
    <t>Engagement%</t>
  </si>
  <si>
    <t>Ammortization</t>
  </si>
  <si>
    <t>B/E Cost per DL Clocked Hour</t>
  </si>
  <si>
    <t>Jan. FY26 Pulse %</t>
  </si>
  <si>
    <t>Period Cost</t>
  </si>
  <si>
    <t>EBIT ($)</t>
  </si>
  <si>
    <t>EBIT (%)</t>
  </si>
  <si>
    <r>
      <t>EBIT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($)</t>
    </r>
  </si>
  <si>
    <t>Total DL Scanned Hrs</t>
  </si>
  <si>
    <r>
      <t>EBIT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(%)</t>
    </r>
  </si>
  <si>
    <t>Equipment Efficiency</t>
  </si>
  <si>
    <t>Restructuring ($)</t>
  </si>
  <si>
    <t>Safety / 5S</t>
  </si>
  <si>
    <t>CUSTOM REPLIT APP</t>
  </si>
  <si>
    <t>Delivery</t>
  </si>
  <si>
    <t>VoC</t>
  </si>
  <si>
    <t>MS FABRIC</t>
  </si>
  <si>
    <t>Opportunity Ranking (AI?)</t>
  </si>
  <si>
    <t>GEN AI</t>
  </si>
  <si>
    <t>Target</t>
  </si>
  <si>
    <t>% Arrived Unscheduled Jobs</t>
  </si>
  <si>
    <t>Overall Operational Effectiveness (OOE)</t>
  </si>
  <si>
    <t>NPS</t>
  </si>
  <si>
    <t>LAST MONTH</t>
  </si>
  <si>
    <t>TRIR</t>
  </si>
  <si>
    <t>TREND GRAPHS</t>
  </si>
  <si>
    <t>(Availability x Performance x Quality)</t>
  </si>
  <si>
    <t>$/ DCHR</t>
  </si>
  <si>
    <t>% EBIT</t>
  </si>
  <si>
    <t>On-Time Delivery KPI (Scheduled Jobs)</t>
  </si>
  <si>
    <t>Q1</t>
  </si>
  <si>
    <r>
      <t>★★★★</t>
    </r>
    <r>
      <rPr>
        <sz val="10"/>
        <rFont val="Aptos Narrow"/>
        <family val="2"/>
        <scheme val="minor"/>
      </rPr>
      <t>★</t>
    </r>
  </si>
  <si>
    <t>1. Reduce ReWork by 5%</t>
  </si>
  <si>
    <t>Actual</t>
  </si>
  <si>
    <t>Q2</t>
  </si>
  <si>
    <t>2.  Shipping guy at MW</t>
  </si>
  <si>
    <t>GEMBA WALKS</t>
  </si>
  <si>
    <t>Planned vs. Scheduled Hours</t>
  </si>
  <si>
    <t>Q3</t>
  </si>
  <si>
    <t>3. Actual hours 200 too high</t>
  </si>
  <si>
    <t>MT Windsor</t>
  </si>
  <si>
    <t>Q4</t>
  </si>
  <si>
    <r>
      <t>★★★</t>
    </r>
    <r>
      <rPr>
        <sz val="10"/>
        <rFont val="Aptos Narrow"/>
        <family val="2"/>
        <scheme val="minor"/>
      </rPr>
      <t>★★</t>
    </r>
  </si>
  <si>
    <t>4. Fix Idle hours</t>
  </si>
  <si>
    <t>MT Fraser</t>
  </si>
  <si>
    <t>Product Family</t>
  </si>
  <si>
    <t>All Back Log</t>
  </si>
  <si>
    <t>Month End Backlog</t>
  </si>
  <si>
    <t>Invoiced Sales MTD</t>
  </si>
  <si>
    <t>Month End Forecast</t>
  </si>
  <si>
    <t>Future Backlog</t>
  </si>
  <si>
    <t>Q5</t>
  </si>
  <si>
    <t>5. …</t>
  </si>
  <si>
    <t>xxx</t>
  </si>
  <si>
    <t>xx%</t>
  </si>
  <si>
    <t>MT GS</t>
  </si>
  <si>
    <t>Chemical Engraving</t>
  </si>
  <si>
    <t>Q6</t>
  </si>
  <si>
    <t>MT MW</t>
  </si>
  <si>
    <t>HT Tribocoat</t>
  </si>
  <si>
    <t>Q7</t>
  </si>
  <si>
    <t>MT Mexico</t>
  </si>
  <si>
    <t>Hybrid Laser Engraving, 5-Axis</t>
  </si>
  <si>
    <t>Q8</t>
  </si>
  <si>
    <t>MT WCS</t>
  </si>
  <si>
    <t>LE 3-Axis, Direct</t>
  </si>
  <si>
    <t>Q9</t>
  </si>
  <si>
    <t>NEAR MISSES</t>
  </si>
  <si>
    <t>LE 5-Axis, Direct</t>
  </si>
  <si>
    <t>Q10</t>
  </si>
  <si>
    <t>Mechanical Engraving</t>
  </si>
  <si>
    <t>Polishing</t>
  </si>
  <si>
    <t>Texture Repair</t>
  </si>
  <si>
    <t>Tool Modification</t>
  </si>
  <si>
    <t>Total</t>
  </si>
  <si>
    <t>DocNum</t>
  </si>
  <si>
    <t>(No column name)</t>
  </si>
  <si>
    <t>Planned Hrs</t>
  </si>
  <si>
    <t>Actual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</si>
</sst>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3" tint="0.499984740745262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C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1"/>
      <color theme="1"/>
      <name val="Comic Sans MS"/>
      <family val="4"/>
    </font>
    <font>
      <b/>
      <sz val="10"/>
      <color theme="1"/>
      <name val="Comic Sans MS"/>
      <family val="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2" fillId="0" borderId="1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0" xfId="0" applyFont="1"/>
    <xf numFmtId="0" fontId="3" fillId="0" borderId="4" xfId="0" applyFont="1" applyBorder="1" applyAlignment="1">
      <alignment horizontal="left" indent="1"/>
    </xf>
    <xf numFmtId="0" fontId="2" fillId="0" borderId="2" xfId="0" applyFont="1" applyBorder="1"/>
    <xf numFmtId="0" fontId="4" fillId="0" borderId="4" xfId="0" applyFont="1" applyBorder="1"/>
    <xf numFmtId="9" fontId="3" fillId="0" borderId="0" xfId="3" applyFont="1" applyBorder="1" applyAlignment="1"/>
    <xf numFmtId="164" fontId="3" fillId="0" borderId="0" xfId="2" applyNumberFormat="1" applyFont="1" applyBorder="1" applyAlignment="1"/>
    <xf numFmtId="0" fontId="4" fillId="0" borderId="0" xfId="0" applyFont="1" applyAlignment="1">
      <alignment horizontal="left"/>
    </xf>
    <xf numFmtId="0" fontId="0" fillId="0" borderId="4" xfId="0" applyBorder="1"/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left"/>
    </xf>
    <xf numFmtId="0" fontId="5" fillId="0" borderId="0" xfId="0" applyFont="1"/>
    <xf numFmtId="44" fontId="3" fillId="0" borderId="0" xfId="2" applyFont="1" applyBorder="1"/>
    <xf numFmtId="0" fontId="4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indent="3"/>
    </xf>
    <xf numFmtId="0" fontId="0" fillId="0" borderId="5" xfId="0" applyBorder="1" applyAlignment="1">
      <alignment horizontal="left" indent="3"/>
    </xf>
    <xf numFmtId="9" fontId="3" fillId="0" borderId="5" xfId="0" applyNumberFormat="1" applyFont="1" applyBorder="1" applyAlignment="1">
      <alignment horizontal="left" indent="3"/>
    </xf>
    <xf numFmtId="164" fontId="3" fillId="0" borderId="0" xfId="2" applyNumberFormat="1" applyFont="1" applyBorder="1" applyAlignment="1">
      <alignment horizontal="center"/>
    </xf>
    <xf numFmtId="166" fontId="3" fillId="0" borderId="0" xfId="1" applyNumberFormat="1" applyFont="1" applyBorder="1" applyAlignment="1"/>
    <xf numFmtId="44" fontId="10" fillId="0" borderId="0" xfId="2" applyFont="1" applyBorder="1"/>
    <xf numFmtId="0" fontId="0" fillId="0" borderId="4" xfId="0" applyBorder="1" applyAlignment="1">
      <alignment horizontal="left" indent="8"/>
    </xf>
    <xf numFmtId="0" fontId="2" fillId="0" borderId="4" xfId="0" applyFont="1" applyBorder="1" applyAlignment="1">
      <alignment horizontal="left" indent="1"/>
    </xf>
    <xf numFmtId="0" fontId="3" fillId="0" borderId="0" xfId="0" applyFont="1"/>
    <xf numFmtId="0" fontId="4" fillId="0" borderId="0" xfId="0" applyFont="1"/>
    <xf numFmtId="0" fontId="3" fillId="0" borderId="4" xfId="0" applyFont="1" applyBorder="1" applyAlignment="1">
      <alignment horizontal="left" indent="2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65" fontId="4" fillId="2" borderId="0" xfId="0" applyNumberFormat="1" applyFont="1" applyFill="1"/>
    <xf numFmtId="165" fontId="3" fillId="0" borderId="0" xfId="0" applyNumberFormat="1" applyFont="1" applyAlignment="1">
      <alignment vertical="center"/>
    </xf>
    <xf numFmtId="164" fontId="3" fillId="0" borderId="0" xfId="0" applyNumberFormat="1" applyFont="1"/>
    <xf numFmtId="6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indent="1"/>
    </xf>
    <xf numFmtId="165" fontId="4" fillId="3" borderId="0" xfId="0" applyNumberFormat="1" applyFont="1" applyFill="1"/>
    <xf numFmtId="9" fontId="3" fillId="0" borderId="0" xfId="0" applyNumberFormat="1" applyFont="1"/>
    <xf numFmtId="9" fontId="3" fillId="0" borderId="0" xfId="0" applyNumberFormat="1" applyFont="1" applyAlignment="1">
      <alignment vertical="center"/>
    </xf>
    <xf numFmtId="6" fontId="3" fillId="0" borderId="0" xfId="0" applyNumberFormat="1" applyFont="1" applyAlignment="1">
      <alignment vertical="center"/>
    </xf>
    <xf numFmtId="0" fontId="2" fillId="0" borderId="0" xfId="0" quotePrefix="1" applyFont="1"/>
    <xf numFmtId="0" fontId="2" fillId="0" borderId="5" xfId="0" applyFont="1" applyBorder="1"/>
    <xf numFmtId="0" fontId="0" fillId="0" borderId="0" xfId="0" applyAlignment="1">
      <alignment horizontal="left" indent="8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left" indent="8"/>
    </xf>
    <xf numFmtId="6" fontId="3" fillId="0" borderId="5" xfId="0" applyNumberFormat="1" applyFont="1" applyBorder="1" applyAlignment="1">
      <alignment horizontal="left" indent="3"/>
    </xf>
    <xf numFmtId="164" fontId="3" fillId="0" borderId="0" xfId="2" applyNumberFormat="1" applyFont="1" applyBorder="1"/>
    <xf numFmtId="164" fontId="3" fillId="0" borderId="5" xfId="2" applyNumberFormat="1" applyFont="1" applyBorder="1"/>
    <xf numFmtId="0" fontId="4" fillId="0" borderId="4" xfId="0" applyFont="1" applyBorder="1" applyAlignment="1">
      <alignment horizontal="left" indent="2"/>
    </xf>
    <xf numFmtId="164" fontId="4" fillId="0" borderId="0" xfId="2" applyNumberFormat="1" applyFont="1" applyBorder="1"/>
    <xf numFmtId="164" fontId="4" fillId="0" borderId="5" xfId="2" applyNumberFormat="1" applyFont="1" applyBorder="1"/>
    <xf numFmtId="164" fontId="4" fillId="0" borderId="0" xfId="2" applyNumberFormat="1" applyFont="1" applyBorder="1" applyAlignment="1"/>
    <xf numFmtId="166" fontId="3" fillId="0" borderId="0" xfId="1" applyNumberFormat="1" applyFont="1" applyBorder="1"/>
    <xf numFmtId="166" fontId="3" fillId="4" borderId="0" xfId="1" applyNumberFormat="1" applyFont="1" applyFill="1" applyBorder="1"/>
    <xf numFmtId="9" fontId="3" fillId="0" borderId="5" xfId="3" applyFont="1" applyBorder="1" applyAlignment="1">
      <alignment horizontal="center" vertical="center"/>
    </xf>
    <xf numFmtId="0" fontId="2" fillId="0" borderId="4" xfId="0" applyFont="1" applyBorder="1"/>
    <xf numFmtId="6" fontId="2" fillId="0" borderId="0" xfId="0" applyNumberFormat="1" applyFont="1" applyAlignment="1">
      <alignment horizontal="center"/>
    </xf>
    <xf numFmtId="9" fontId="4" fillId="5" borderId="0" xfId="0" applyNumberFormat="1" applyFont="1" applyFill="1" applyAlignment="1">
      <alignment horizontal="center"/>
    </xf>
    <xf numFmtId="9" fontId="11" fillId="4" borderId="0" xfId="0" applyNumberFormat="1" applyFont="1" applyFill="1" applyAlignment="1">
      <alignment horizontal="center"/>
    </xf>
    <xf numFmtId="9" fontId="13" fillId="4" borderId="0" xfId="0" applyNumberFormat="1" applyFont="1" applyFill="1" applyAlignment="1">
      <alignment horizontal="center"/>
    </xf>
    <xf numFmtId="0" fontId="4" fillId="0" borderId="9" xfId="0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0" fontId="3" fillId="0" borderId="9" xfId="0" applyFont="1" applyBorder="1"/>
    <xf numFmtId="9" fontId="2" fillId="0" borderId="5" xfId="0" applyNumberFormat="1" applyFont="1" applyBorder="1" applyAlignment="1">
      <alignment horizontal="left"/>
    </xf>
    <xf numFmtId="0" fontId="0" fillId="0" borderId="0" xfId="0" quotePrefix="1"/>
    <xf numFmtId="9" fontId="2" fillId="2" borderId="0" xfId="0" applyNumberFormat="1" applyFont="1" applyFill="1" applyAlignment="1">
      <alignment horizontal="left"/>
    </xf>
    <xf numFmtId="164" fontId="4" fillId="0" borderId="0" xfId="0" applyNumberFormat="1" applyFont="1"/>
    <xf numFmtId="0" fontId="2" fillId="0" borderId="0" xfId="0" applyFont="1" applyAlignment="1">
      <alignment horizontal="center"/>
    </xf>
    <xf numFmtId="165" fontId="0" fillId="0" borderId="0" xfId="3" applyNumberFormat="1" applyFont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6" borderId="1" xfId="0" applyFont="1" applyFill="1" applyBorder="1"/>
    <xf numFmtId="0" fontId="0" fillId="6" borderId="2" xfId="0" applyFill="1" applyBorder="1"/>
    <xf numFmtId="0" fontId="4" fillId="6" borderId="4" xfId="0" applyFont="1" applyFill="1" applyBorder="1"/>
    <xf numFmtId="0" fontId="3" fillId="6" borderId="0" xfId="0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quotePrefix="1" applyFont="1" applyFill="1" applyAlignment="1">
      <alignment horizontal="center"/>
    </xf>
    <xf numFmtId="0" fontId="4" fillId="6" borderId="0" xfId="0" applyFont="1" applyFill="1"/>
    <xf numFmtId="0" fontId="3" fillId="6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left" indent="1"/>
    </xf>
    <xf numFmtId="0" fontId="2" fillId="7" borderId="2" xfId="0" applyFont="1" applyFill="1" applyBorder="1"/>
    <xf numFmtId="0" fontId="15" fillId="7" borderId="2" xfId="0" applyFont="1" applyFill="1" applyBorder="1"/>
    <xf numFmtId="17" fontId="14" fillId="7" borderId="0" xfId="0" applyNumberFormat="1" applyFont="1" applyFill="1" applyAlignment="1">
      <alignment horizontal="left" indent="1"/>
    </xf>
    <xf numFmtId="0" fontId="3" fillId="7" borderId="0" xfId="0" applyFont="1" applyFill="1"/>
    <xf numFmtId="0" fontId="4" fillId="7" borderId="0" xfId="0" applyFont="1" applyFill="1" applyAlignment="1">
      <alignment horizontal="left" indent="1"/>
    </xf>
    <xf numFmtId="0" fontId="4" fillId="7" borderId="0" xfId="0" applyFont="1" applyFill="1" applyAlignment="1">
      <alignment horizontal="center"/>
    </xf>
    <xf numFmtId="0" fontId="8" fillId="7" borderId="0" xfId="0" applyFont="1" applyFill="1" applyAlignment="1">
      <alignment horizontal="left" indent="1"/>
    </xf>
    <xf numFmtId="0" fontId="7" fillId="7" borderId="0" xfId="0" applyFont="1" applyFill="1" applyAlignment="1">
      <alignment horizontal="center"/>
    </xf>
    <xf numFmtId="0" fontId="0" fillId="7" borderId="0" xfId="0" applyFill="1"/>
    <xf numFmtId="0" fontId="3" fillId="7" borderId="7" xfId="0" applyFont="1" applyFill="1" applyBorder="1"/>
    <xf numFmtId="0" fontId="2" fillId="8" borderId="10" xfId="0" applyFont="1" applyFill="1" applyBorder="1"/>
    <xf numFmtId="0" fontId="2" fillId="8" borderId="11" xfId="0" applyFont="1" applyFill="1" applyBorder="1"/>
    <xf numFmtId="0" fontId="0" fillId="8" borderId="11" xfId="0" applyFill="1" applyBorder="1"/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0" fillId="8" borderId="12" xfId="0" applyFill="1" applyBorder="1"/>
    <xf numFmtId="0" fontId="0" fillId="8" borderId="0" xfId="0" applyFill="1"/>
    <xf numFmtId="0" fontId="0" fillId="8" borderId="9" xfId="0" applyFill="1" applyBorder="1"/>
    <xf numFmtId="0" fontId="2" fillId="8" borderId="12" xfId="0" applyFont="1" applyFill="1" applyBorder="1"/>
    <xf numFmtId="0" fontId="2" fillId="8" borderId="0" xfId="0" applyFont="1" applyFill="1"/>
    <xf numFmtId="0" fontId="2" fillId="8" borderId="12" xfId="0" applyFont="1" applyFill="1" applyBorder="1" applyAlignment="1">
      <alignment horizontal="left" indent="1"/>
    </xf>
    <xf numFmtId="0" fontId="2" fillId="8" borderId="0" xfId="0" applyFont="1" applyFill="1" applyAlignment="1">
      <alignment horizontal="left" indent="1"/>
    </xf>
    <xf numFmtId="8" fontId="0" fillId="8" borderId="0" xfId="0" applyNumberFormat="1" applyFill="1"/>
    <xf numFmtId="10" fontId="0" fillId="8" borderId="0" xfId="0" applyNumberFormat="1" applyFill="1"/>
    <xf numFmtId="8" fontId="0" fillId="8" borderId="0" xfId="0" applyNumberFormat="1" applyFill="1" applyAlignment="1">
      <alignment horizontal="right"/>
    </xf>
    <xf numFmtId="10" fontId="0" fillId="8" borderId="0" xfId="0" applyNumberFormat="1" applyFill="1" applyAlignment="1">
      <alignment horizontal="right"/>
    </xf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inberg, Val" id="{990FC724-0474-47D3-BE50-5C585E8E277B}" userId="S::vgrinberg@gsengineering.net::8ffb91ec-e36f-4419-a0f2-c82c8ddf0b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6-01-19T18:28:22.67" personId="{990FC724-0474-47D3-BE50-5C585E8E277B}" id="{EE655299-66D2-4093-B424-85859A28446F}">
    <text>Rework scanned differently vs. regular labor</text>
  </threadedComment>
  <threadedComment ref="A10" dT="2026-01-19T19:47:30.12" personId="{990FC724-0474-47D3-BE50-5C585E8E277B}" id="{57C94868-BA70-4330-B4AA-1BD51F92820D}">
    <text>DL HR is Scanned Productive Hours</text>
  </threadedComment>
  <threadedComment ref="A13" dT="2026-01-19T18:27:49.65" personId="{990FC724-0474-47D3-BE50-5C585E8E277B}" id="{C420EE0C-99E1-405A-94EF-694B02F079A0}">
    <text>Jobs CB / Jobs Shipped</text>
  </threadedComment>
  <threadedComment ref="A15" dT="2026-01-19T20:23:00.23" personId="{990FC724-0474-47D3-BE50-5C585E8E277B}" id="{EB9B655B-5BD9-4674-908F-0953B187F28F}">
    <text>DL HR is Scanned Scanned Productive Hour</text>
  </threadedComment>
  <threadedComment ref="N21" dT="2026-01-19T15:22:57.04" personId="{990FC724-0474-47D3-BE50-5C585E8E277B}" id="{AEC26391-89AE-41EC-80B8-27FD3EC82AF7}">
    <text>Click for details (regretted, unregretted)</text>
  </threadedComment>
  <threadedComment ref="P28" dT="2026-01-20T13:04:06.38" personId="{990FC724-0474-47D3-BE50-5C585E8E277B}" id="{3AADF68D-5196-4340-9A05-141466325235}">
    <text>NOT EBIDTA</text>
  </threadedComment>
  <threadedComment ref="A33" dT="2026-01-19T18:27:09.17" personId="{990FC724-0474-47D3-BE50-5C585E8E277B}" id="{4F49C1BC-8FCF-42BF-AFF9-6314077D0780}">
    <text>Should we have a safety APP?</text>
  </threadedComment>
  <threadedComment ref="B39" dT="2026-01-19T15:22:02.12" personId="{990FC724-0474-47D3-BE50-5C585E8E277B}" id="{6E2E478C-B795-434A-8C52-64A710EC8D42}">
    <text>Click for detailed reports.</text>
  </threadedComment>
  <threadedComment ref="B46" dT="2026-01-19T15:22:11.11" personId="{990FC724-0474-47D3-BE50-5C585E8E277B}" id="{8230B8F4-5DDC-488B-B270-BC9CDA82E6F2}">
    <text>Click for detailed reports.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83F9-6FD8-4610-BC4F-46FE9C832E96}">
  <sheetPr>
    <pageSetUpPr fitToPage="1"/>
  </sheetPr>
  <dimension ref="A1:X53"/>
  <sheetViews>
    <sheetView showGridLines="0" tabSelected="1" topLeftCell="A6" zoomScale="70" zoomScaleNormal="70" workbookViewId="0">
      <selection activeCell="P33" sqref="P33:V53"/>
    </sheetView>
  </sheetViews>
  <sheetFormatPr defaultRowHeight="15"/>
  <cols>
    <col min="1" max="1" width="20" customWidth="1"/>
    <col min="2" max="2" width="9.5703125" customWidth="1"/>
    <col min="3" max="3" width="11" bestFit="1" customWidth="1"/>
    <col min="4" max="4" width="12.42578125" customWidth="1"/>
    <col min="5" max="5" width="20" bestFit="1" customWidth="1"/>
    <col min="6" max="6" width="26.28515625" customWidth="1"/>
    <col min="7" max="7" width="12.5703125" customWidth="1"/>
    <col min="8" max="8" width="2.7109375" customWidth="1"/>
    <col min="9" max="9" width="16" bestFit="1" customWidth="1"/>
    <col min="10" max="10" width="16.28515625" customWidth="1"/>
    <col min="11" max="11" width="2.5703125" customWidth="1"/>
    <col min="12" max="12" width="16.85546875" customWidth="1"/>
    <col min="13" max="13" width="23" customWidth="1"/>
    <col min="14" max="14" width="16.42578125" bestFit="1" customWidth="1"/>
    <col min="15" max="15" width="14" customWidth="1"/>
    <col min="16" max="16" width="34.7109375" customWidth="1"/>
    <col min="17" max="17" width="3.42578125" customWidth="1"/>
    <col min="18" max="18" width="10.85546875" bestFit="1" customWidth="1"/>
    <col min="22" max="22" width="3.28515625" customWidth="1"/>
  </cols>
  <sheetData>
    <row r="1" spans="1:24">
      <c r="A1" s="79" t="s">
        <v>0</v>
      </c>
      <c r="B1" s="79"/>
      <c r="C1" s="79"/>
      <c r="D1" s="79"/>
      <c r="E1" s="79"/>
      <c r="F1" s="79"/>
    </row>
    <row r="3" spans="1:24" ht="18.75">
      <c r="A3" s="80" t="s">
        <v>1</v>
      </c>
      <c r="B3" s="80"/>
      <c r="C3" s="80"/>
      <c r="D3" s="80"/>
      <c r="E3" s="80"/>
      <c r="F3" s="80" t="s">
        <v>2</v>
      </c>
      <c r="G3" s="80"/>
      <c r="H3" s="80"/>
      <c r="I3" s="80"/>
      <c r="J3" s="80"/>
      <c r="K3" s="80"/>
      <c r="L3" s="80"/>
      <c r="M3" s="80"/>
      <c r="N3" s="10"/>
      <c r="O3" s="10"/>
    </row>
    <row r="4" spans="1:24">
      <c r="A4" s="81" t="s">
        <v>3</v>
      </c>
      <c r="B4" s="81"/>
      <c r="D4" s="33" t="s">
        <v>4</v>
      </c>
      <c r="E4" s="16"/>
      <c r="F4" s="20" t="s">
        <v>5</v>
      </c>
      <c r="I4" s="20" t="s">
        <v>6</v>
      </c>
      <c r="L4" s="20" t="s">
        <v>7</v>
      </c>
    </row>
    <row r="6" spans="1:24" ht="16.5">
      <c r="A6" s="4" t="s">
        <v>8</v>
      </c>
      <c r="B6" s="1"/>
      <c r="C6" s="77" t="s">
        <v>9</v>
      </c>
      <c r="D6" s="77"/>
      <c r="E6" s="78"/>
      <c r="F6" s="12" t="s">
        <v>10</v>
      </c>
      <c r="G6" s="1"/>
      <c r="H6" s="1"/>
      <c r="I6" s="1"/>
      <c r="J6" s="1"/>
      <c r="K6" s="77" t="s">
        <v>9</v>
      </c>
      <c r="L6" s="77"/>
      <c r="M6" s="77"/>
      <c r="N6" s="4" t="s">
        <v>11</v>
      </c>
      <c r="O6" s="2"/>
      <c r="P6" s="4" t="s">
        <v>12</v>
      </c>
      <c r="Q6" s="12"/>
      <c r="R6" s="77" t="s">
        <v>9</v>
      </c>
      <c r="S6" s="77"/>
      <c r="T6" s="78"/>
      <c r="U6" s="2"/>
      <c r="V6" s="2"/>
      <c r="X6" s="10" t="s">
        <v>13</v>
      </c>
    </row>
    <row r="7" spans="1:24">
      <c r="A7" s="5"/>
      <c r="B7" s="87" t="s">
        <v>14</v>
      </c>
      <c r="C7" s="87"/>
      <c r="D7" s="87"/>
      <c r="E7" s="22"/>
      <c r="G7" s="86" t="s">
        <v>15</v>
      </c>
      <c r="H7" s="86"/>
      <c r="I7" s="86"/>
      <c r="J7" s="86"/>
      <c r="K7" s="86"/>
      <c r="L7" s="86"/>
      <c r="M7" s="10"/>
      <c r="N7" s="17"/>
      <c r="O7" s="3"/>
      <c r="P7" s="17"/>
      <c r="V7" s="3"/>
      <c r="X7" s="72" t="s">
        <v>16</v>
      </c>
    </row>
    <row r="8" spans="1:24">
      <c r="A8" s="17"/>
      <c r="B8" s="35" t="s">
        <v>17</v>
      </c>
      <c r="C8" s="36" t="s">
        <v>18</v>
      </c>
      <c r="D8" s="35" t="s">
        <v>19</v>
      </c>
      <c r="E8" s="48" t="s">
        <v>20</v>
      </c>
      <c r="F8" s="32"/>
      <c r="G8" s="32"/>
      <c r="H8" s="32"/>
      <c r="I8" s="33" t="s">
        <v>17</v>
      </c>
      <c r="J8" s="33" t="s">
        <v>18</v>
      </c>
      <c r="K8" s="33"/>
      <c r="L8" s="33" t="s">
        <v>19</v>
      </c>
      <c r="M8" s="33"/>
      <c r="N8" s="18" t="s">
        <v>21</v>
      </c>
      <c r="O8" s="6"/>
      <c r="P8" s="17"/>
      <c r="R8" s="10" t="s">
        <v>22</v>
      </c>
      <c r="S8" s="47" t="s">
        <v>18</v>
      </c>
      <c r="T8" s="10" t="s">
        <v>19</v>
      </c>
      <c r="U8" s="75" t="s">
        <v>23</v>
      </c>
      <c r="V8" s="3"/>
      <c r="X8" s="72" t="s">
        <v>24</v>
      </c>
    </row>
    <row r="9" spans="1:24">
      <c r="A9" s="5" t="s">
        <v>25</v>
      </c>
      <c r="B9" s="37">
        <v>0.15</v>
      </c>
      <c r="C9" s="38">
        <v>0.05</v>
      </c>
      <c r="D9" s="38">
        <v>0.1</v>
      </c>
      <c r="E9" s="62">
        <f>B9/0.08</f>
        <v>1.875</v>
      </c>
      <c r="F9" s="32"/>
      <c r="G9" s="32"/>
      <c r="H9" s="32"/>
      <c r="I9" s="59">
        <v>400000</v>
      </c>
      <c r="J9" s="59">
        <v>1600000</v>
      </c>
      <c r="K9" s="59"/>
      <c r="L9" s="59">
        <v>8000000</v>
      </c>
      <c r="M9" s="59"/>
      <c r="N9" s="11" t="s">
        <v>26</v>
      </c>
      <c r="O9" s="24">
        <v>10</v>
      </c>
      <c r="P9" s="63" t="s">
        <v>27</v>
      </c>
      <c r="Q9" s="10"/>
      <c r="R9" s="64">
        <v>220</v>
      </c>
      <c r="S9" s="64">
        <v>230</v>
      </c>
      <c r="T9" s="64">
        <v>210</v>
      </c>
      <c r="U9" s="64"/>
      <c r="V9" s="3"/>
      <c r="X9" s="72" t="s">
        <v>28</v>
      </c>
    </row>
    <row r="10" spans="1:24">
      <c r="A10" s="5" t="s">
        <v>29</v>
      </c>
      <c r="B10" s="29">
        <f>286*B9</f>
        <v>42.9</v>
      </c>
      <c r="C10" s="21">
        <f>286*C9</f>
        <v>14.3</v>
      </c>
      <c r="D10" s="21">
        <f>286*D9</f>
        <v>28.6</v>
      </c>
      <c r="E10" s="23"/>
      <c r="F10" s="33"/>
      <c r="G10" s="32"/>
      <c r="H10" s="32"/>
      <c r="I10" s="15"/>
      <c r="J10" s="15"/>
      <c r="K10" s="15"/>
      <c r="L10" s="15"/>
      <c r="M10" s="15"/>
      <c r="N10" s="11"/>
      <c r="O10" s="24"/>
      <c r="P10" s="17"/>
      <c r="R10" s="50"/>
      <c r="S10" s="50"/>
      <c r="T10" s="50"/>
      <c r="U10" s="76"/>
      <c r="V10" s="3"/>
      <c r="X10" s="72" t="s">
        <v>30</v>
      </c>
    </row>
    <row r="11" spans="1:24">
      <c r="A11" s="5" t="s">
        <v>31</v>
      </c>
      <c r="B11" s="40">
        <v>30000</v>
      </c>
      <c r="C11" s="40">
        <v>28000</v>
      </c>
      <c r="D11" s="40">
        <v>32000</v>
      </c>
      <c r="E11" s="23"/>
      <c r="F11" s="33" t="s">
        <v>32</v>
      </c>
      <c r="G11" s="60">
        <v>1500</v>
      </c>
      <c r="H11" s="60"/>
      <c r="I11" s="39">
        <f>I$9/G11</f>
        <v>266.66666666666669</v>
      </c>
      <c r="J11" s="39">
        <v>210</v>
      </c>
      <c r="K11" s="39"/>
      <c r="L11" s="39">
        <v>190</v>
      </c>
      <c r="M11" s="39"/>
      <c r="N11" s="11" t="s">
        <v>33</v>
      </c>
      <c r="O11" s="24">
        <v>20</v>
      </c>
      <c r="P11" s="17" t="s">
        <v>34</v>
      </c>
      <c r="R11" s="50">
        <v>65</v>
      </c>
      <c r="S11" s="51" t="s">
        <v>35</v>
      </c>
      <c r="T11" s="51" t="s">
        <v>35</v>
      </c>
      <c r="U11" s="76">
        <f>R11/$R$9</f>
        <v>0.29545454545454547</v>
      </c>
      <c r="V11" s="3"/>
    </row>
    <row r="12" spans="1:24">
      <c r="A12" s="5"/>
      <c r="B12" s="29"/>
      <c r="C12" s="21"/>
      <c r="D12" s="21"/>
      <c r="E12" s="23"/>
      <c r="F12" s="33" t="s">
        <v>36</v>
      </c>
      <c r="G12" s="60">
        <v>2000</v>
      </c>
      <c r="H12" s="60"/>
      <c r="I12" s="39">
        <f t="shared" ref="I12:I13" si="0">I$9/G12</f>
        <v>200</v>
      </c>
      <c r="J12" s="39">
        <v>210</v>
      </c>
      <c r="K12" s="39"/>
      <c r="L12" s="39">
        <v>180</v>
      </c>
      <c r="M12" s="39"/>
      <c r="N12" s="11"/>
      <c r="O12" s="24"/>
      <c r="P12" t="s">
        <v>37</v>
      </c>
      <c r="R12" s="50">
        <v>10</v>
      </c>
      <c r="U12" s="76">
        <f>R12/$R$9</f>
        <v>4.5454545454545456E-2</v>
      </c>
      <c r="V12" s="3"/>
    </row>
    <row r="13" spans="1:24">
      <c r="A13" s="5" t="s">
        <v>38</v>
      </c>
      <c r="B13" s="43">
        <v>0.1</v>
      </c>
      <c r="C13" s="38">
        <v>0.15</v>
      </c>
      <c r="D13" s="38">
        <v>0.16300000000000001</v>
      </c>
      <c r="E13" s="62">
        <f>B13/0.08</f>
        <v>1.25</v>
      </c>
      <c r="F13" s="33" t="s">
        <v>39</v>
      </c>
      <c r="G13" s="60">
        <v>1600</v>
      </c>
      <c r="H13" s="60"/>
      <c r="I13" s="39">
        <f t="shared" si="0"/>
        <v>250</v>
      </c>
      <c r="J13" s="39">
        <v>210</v>
      </c>
      <c r="K13" s="39"/>
      <c r="L13" s="39">
        <v>190</v>
      </c>
      <c r="M13" s="39"/>
      <c r="N13" s="11" t="s">
        <v>40</v>
      </c>
      <c r="O13" s="24">
        <v>2</v>
      </c>
      <c r="P13" s="17" t="s">
        <v>41</v>
      </c>
      <c r="R13" s="50">
        <v>4</v>
      </c>
      <c r="S13" s="51" t="s">
        <v>35</v>
      </c>
      <c r="T13" s="51" t="s">
        <v>35</v>
      </c>
      <c r="U13" s="76">
        <f>R13/$R$9</f>
        <v>1.8181818181818181E-2</v>
      </c>
      <c r="V13" s="3"/>
    </row>
    <row r="14" spans="1:24">
      <c r="A14" s="5" t="s">
        <v>42</v>
      </c>
      <c r="B14" s="44">
        <v>0.08</v>
      </c>
      <c r="C14" s="45">
        <v>0.17</v>
      </c>
      <c r="D14" s="45">
        <v>0.17</v>
      </c>
      <c r="E14" s="23"/>
      <c r="F14" s="33" t="s">
        <v>43</v>
      </c>
      <c r="G14" s="61">
        <v>1500</v>
      </c>
      <c r="H14" s="61"/>
      <c r="I14" s="39">
        <f>$I9/G14</f>
        <v>266.66666666666669</v>
      </c>
      <c r="J14" s="39">
        <v>195</v>
      </c>
      <c r="K14" s="39"/>
      <c r="L14" s="39">
        <v>240</v>
      </c>
      <c r="M14" s="39"/>
      <c r="N14" s="17"/>
      <c r="O14" s="25"/>
      <c r="P14" s="17" t="s">
        <v>44</v>
      </c>
      <c r="R14" s="50">
        <v>22</v>
      </c>
      <c r="S14" s="51" t="s">
        <v>35</v>
      </c>
      <c r="T14" s="51" t="s">
        <v>35</v>
      </c>
      <c r="U14" s="76">
        <f>R14/$R$9</f>
        <v>0.1</v>
      </c>
      <c r="V14" s="3"/>
    </row>
    <row r="15" spans="1:24">
      <c r="A15" s="5" t="s">
        <v>45</v>
      </c>
      <c r="B15" s="40">
        <v>50</v>
      </c>
      <c r="C15" s="46">
        <v>35</v>
      </c>
      <c r="D15" s="46">
        <v>60</v>
      </c>
      <c r="E15" s="23"/>
      <c r="F15" s="42" t="s">
        <v>46</v>
      </c>
      <c r="G15" s="60">
        <v>1250</v>
      </c>
      <c r="H15" s="60"/>
      <c r="I15" s="39">
        <f>I$9/G15</f>
        <v>320</v>
      </c>
      <c r="J15" s="39">
        <v>400</v>
      </c>
      <c r="K15" s="39"/>
      <c r="L15" s="39">
        <v>385</v>
      </c>
      <c r="M15" s="39"/>
      <c r="N15" s="11" t="s">
        <v>47</v>
      </c>
      <c r="O15" s="24">
        <v>80</v>
      </c>
      <c r="P15" s="17" t="s">
        <v>48</v>
      </c>
      <c r="R15" s="51" t="s">
        <v>35</v>
      </c>
      <c r="S15" s="51" t="s">
        <v>35</v>
      </c>
      <c r="T15" s="51" t="s">
        <v>35</v>
      </c>
      <c r="U15" s="76"/>
      <c r="V15" s="3"/>
    </row>
    <row r="16" spans="1:24">
      <c r="A16" s="5" t="s">
        <v>49</v>
      </c>
      <c r="B16" s="27">
        <v>32500</v>
      </c>
      <c r="C16" s="27">
        <v>28900</v>
      </c>
      <c r="D16" s="27">
        <v>60000</v>
      </c>
      <c r="E16" s="23"/>
      <c r="F16" s="42" t="s">
        <v>50</v>
      </c>
      <c r="G16" s="60">
        <v>100</v>
      </c>
      <c r="H16" s="60"/>
      <c r="I16" s="39"/>
      <c r="J16" s="39"/>
      <c r="K16" s="39"/>
      <c r="L16" s="39"/>
      <c r="M16" s="39"/>
      <c r="N16" s="11"/>
      <c r="O16" s="24"/>
      <c r="P16" s="17" t="s">
        <v>51</v>
      </c>
      <c r="R16" s="51" t="s">
        <v>35</v>
      </c>
      <c r="S16" s="51" t="s">
        <v>35</v>
      </c>
      <c r="T16" s="51" t="s">
        <v>35</v>
      </c>
      <c r="U16" s="76"/>
      <c r="V16" s="3"/>
    </row>
    <row r="17" spans="1:22">
      <c r="A17" s="5"/>
      <c r="B17" s="27"/>
      <c r="C17" s="27"/>
      <c r="D17" s="27"/>
      <c r="E17" s="23"/>
      <c r="F17" s="42" t="s">
        <v>52</v>
      </c>
      <c r="G17" s="60">
        <v>100</v>
      </c>
      <c r="H17" s="60"/>
      <c r="I17" s="39"/>
      <c r="J17" s="39"/>
      <c r="K17" s="39"/>
      <c r="L17" s="39"/>
      <c r="M17" s="39"/>
      <c r="N17" s="11" t="s">
        <v>53</v>
      </c>
      <c r="O17" s="24">
        <v>10</v>
      </c>
      <c r="P17" s="17" t="s">
        <v>54</v>
      </c>
      <c r="R17" s="51"/>
      <c r="S17" s="51"/>
      <c r="T17" s="51"/>
      <c r="U17" s="76">
        <f>R17/$R$9</f>
        <v>0</v>
      </c>
      <c r="V17" s="3"/>
    </row>
    <row r="18" spans="1:22">
      <c r="A18" s="17"/>
      <c r="E18" s="23"/>
      <c r="F18" s="42" t="s">
        <v>55</v>
      </c>
      <c r="G18" s="60">
        <v>50</v>
      </c>
      <c r="H18" s="60"/>
      <c r="I18" s="39"/>
      <c r="J18" s="39"/>
      <c r="K18" s="39"/>
      <c r="L18" s="39"/>
      <c r="M18" s="39"/>
      <c r="N18" s="17"/>
      <c r="O18" s="3"/>
      <c r="P18" s="17" t="s">
        <v>56</v>
      </c>
      <c r="R18" s="51" t="s">
        <v>35</v>
      </c>
      <c r="S18" s="51" t="s">
        <v>35</v>
      </c>
      <c r="T18" s="51" t="s">
        <v>35</v>
      </c>
      <c r="U18" s="76"/>
      <c r="V18" s="3"/>
    </row>
    <row r="19" spans="1:22">
      <c r="A19" s="17"/>
      <c r="E19" s="23"/>
      <c r="H19" s="60"/>
      <c r="I19" s="39"/>
      <c r="J19" s="39"/>
      <c r="K19" s="39"/>
      <c r="L19" s="39"/>
      <c r="M19" s="39"/>
      <c r="N19" s="11"/>
      <c r="O19" s="53"/>
      <c r="P19" s="52"/>
      <c r="Q19" s="49"/>
      <c r="R19" s="51" t="s">
        <v>35</v>
      </c>
      <c r="S19" s="51" t="s">
        <v>35</v>
      </c>
      <c r="T19" s="51" t="s">
        <v>35</v>
      </c>
      <c r="U19" s="76"/>
      <c r="V19" s="3"/>
    </row>
    <row r="20" spans="1:22">
      <c r="A20" s="17"/>
      <c r="E20" s="23"/>
      <c r="F20" s="42"/>
      <c r="G20" s="85" t="s">
        <v>57</v>
      </c>
      <c r="H20" s="85"/>
      <c r="I20" s="85"/>
      <c r="J20" s="85"/>
      <c r="K20" s="85"/>
      <c r="L20" s="85"/>
      <c r="M20" s="74"/>
      <c r="N20" s="11"/>
      <c r="O20" s="24"/>
      <c r="P20" s="52" t="s">
        <v>58</v>
      </c>
      <c r="Q20" s="49"/>
      <c r="R20" s="51" t="s">
        <v>35</v>
      </c>
      <c r="S20" s="51" t="s">
        <v>35</v>
      </c>
      <c r="T20" s="51" t="s">
        <v>35</v>
      </c>
      <c r="U20" s="76"/>
      <c r="V20" s="3"/>
    </row>
    <row r="21" spans="1:22">
      <c r="A21" s="17"/>
      <c r="C21" s="41"/>
      <c r="D21" s="41"/>
      <c r="E21" s="23"/>
      <c r="F21" s="33" t="s">
        <v>59</v>
      </c>
      <c r="G21" s="32">
        <v>100</v>
      </c>
      <c r="H21" s="32"/>
      <c r="I21" s="39">
        <f>G21*60</f>
        <v>6000</v>
      </c>
      <c r="J21" s="39">
        <v>6000</v>
      </c>
      <c r="K21" s="39"/>
      <c r="L21" s="28">
        <f>L22/60</f>
        <v>8888.8888888888887</v>
      </c>
      <c r="M21" s="39"/>
      <c r="N21" s="13" t="s">
        <v>60</v>
      </c>
      <c r="O21" s="26">
        <v>0.05</v>
      </c>
      <c r="P21" s="17" t="s">
        <v>61</v>
      </c>
      <c r="R21" s="50">
        <v>44</v>
      </c>
      <c r="S21" s="51" t="s">
        <v>35</v>
      </c>
      <c r="T21" s="51" t="s">
        <v>35</v>
      </c>
      <c r="U21" s="76">
        <f>R21/$R$9</f>
        <v>0.2</v>
      </c>
      <c r="V21" s="3"/>
    </row>
    <row r="22" spans="1:22">
      <c r="A22" s="82" t="s">
        <v>62</v>
      </c>
      <c r="B22" s="83"/>
      <c r="C22" s="83"/>
      <c r="D22" s="83"/>
      <c r="E22" s="84"/>
      <c r="F22" s="33" t="s">
        <v>63</v>
      </c>
      <c r="G22" s="14">
        <f>G21/G11</f>
        <v>6.6666666666666666E-2</v>
      </c>
      <c r="H22" s="14"/>
      <c r="I22" s="39">
        <f>G22*I9</f>
        <v>26666.666666666668</v>
      </c>
      <c r="J22" s="39">
        <v>26666.666666666668</v>
      </c>
      <c r="K22" s="39"/>
      <c r="L22" s="39">
        <f>L9*G22</f>
        <v>533333.33333333337</v>
      </c>
      <c r="M22" s="39"/>
      <c r="N22" s="11"/>
      <c r="O22" s="24"/>
      <c r="P22" s="17" t="s">
        <v>64</v>
      </c>
      <c r="R22" s="50">
        <v>30</v>
      </c>
      <c r="S22" s="51" t="s">
        <v>35</v>
      </c>
      <c r="T22" s="51" t="s">
        <v>35</v>
      </c>
      <c r="U22" s="76">
        <f>R22/$R$9</f>
        <v>0.13636363636363635</v>
      </c>
      <c r="V22" s="3"/>
    </row>
    <row r="23" spans="1:22">
      <c r="A23" s="82"/>
      <c r="B23" s="83"/>
      <c r="C23" s="83"/>
      <c r="D23" s="83"/>
      <c r="E23" s="84"/>
      <c r="F23" s="33" t="s">
        <v>65</v>
      </c>
      <c r="G23" s="14">
        <v>0.95</v>
      </c>
      <c r="H23" s="14"/>
      <c r="I23" s="32"/>
      <c r="J23" s="39"/>
      <c r="K23" s="39"/>
      <c r="L23" s="39"/>
      <c r="M23" s="39"/>
      <c r="N23" s="19" t="s">
        <v>66</v>
      </c>
      <c r="O23" s="24"/>
      <c r="P23" s="17" t="s">
        <v>67</v>
      </c>
      <c r="R23" s="50">
        <v>60</v>
      </c>
      <c r="S23" s="51" t="s">
        <v>35</v>
      </c>
      <c r="T23" s="51" t="s">
        <v>35</v>
      </c>
      <c r="U23" s="76">
        <f>R23/$R$9</f>
        <v>0.27272727272727271</v>
      </c>
      <c r="V23" s="3"/>
    </row>
    <row r="24" spans="1:22">
      <c r="A24" s="82"/>
      <c r="B24" s="83"/>
      <c r="C24" s="83"/>
      <c r="D24" s="83"/>
      <c r="E24" s="84"/>
      <c r="F24" s="32"/>
      <c r="G24" s="32"/>
      <c r="H24" s="32"/>
      <c r="I24" s="39"/>
      <c r="J24" s="32"/>
      <c r="K24" s="32"/>
      <c r="L24" s="32"/>
      <c r="M24" s="32"/>
      <c r="N24" s="11" t="s">
        <v>68</v>
      </c>
      <c r="O24" s="26">
        <v>0.6</v>
      </c>
      <c r="P24" s="17" t="s">
        <v>69</v>
      </c>
      <c r="R24" s="50">
        <v>20</v>
      </c>
      <c r="S24" s="51" t="s">
        <v>35</v>
      </c>
      <c r="T24" s="51" t="s">
        <v>35</v>
      </c>
      <c r="U24" s="76">
        <f>R24/$R$9</f>
        <v>9.0909090909090912E-2</v>
      </c>
      <c r="V24" s="3"/>
    </row>
    <row r="25" spans="1:22">
      <c r="A25" s="82"/>
      <c r="B25" s="83"/>
      <c r="C25" s="83"/>
      <c r="D25" s="83"/>
      <c r="E25" s="84"/>
      <c r="F25" s="33"/>
      <c r="G25" s="87" t="s">
        <v>70</v>
      </c>
      <c r="H25" s="87"/>
      <c r="I25" s="87"/>
      <c r="J25" s="87"/>
      <c r="K25" s="87"/>
      <c r="L25" s="87"/>
      <c r="M25" s="33"/>
      <c r="N25" s="11" t="s">
        <v>71</v>
      </c>
      <c r="O25" s="26">
        <v>0.75</v>
      </c>
      <c r="V25" s="3"/>
    </row>
    <row r="26" spans="1:22">
      <c r="A26" s="82"/>
      <c r="B26" s="83"/>
      <c r="C26" s="83"/>
      <c r="D26" s="83"/>
      <c r="E26" s="84"/>
      <c r="F26" s="33"/>
      <c r="G26" s="32"/>
      <c r="H26" s="32"/>
      <c r="I26" s="33" t="s">
        <v>72</v>
      </c>
      <c r="J26" s="33" t="s">
        <v>18</v>
      </c>
      <c r="K26" s="33"/>
      <c r="L26" s="33" t="s">
        <v>19</v>
      </c>
      <c r="M26" s="33"/>
      <c r="N26" s="17"/>
      <c r="O26" s="24"/>
      <c r="P26" s="30" t="s">
        <v>73</v>
      </c>
      <c r="Q26" s="49"/>
      <c r="R26" s="51" t="s">
        <v>35</v>
      </c>
      <c r="S26" s="51" t="s">
        <v>35</v>
      </c>
      <c r="T26" s="51" t="s">
        <v>35</v>
      </c>
      <c r="U26" s="51"/>
      <c r="V26" s="3"/>
    </row>
    <row r="27" spans="1:22">
      <c r="A27" s="82"/>
      <c r="B27" s="83"/>
      <c r="C27" s="83"/>
      <c r="D27" s="83"/>
      <c r="E27" s="84"/>
      <c r="F27" s="33"/>
      <c r="G27" s="32"/>
      <c r="H27" s="32"/>
      <c r="I27" s="15">
        <v>240000</v>
      </c>
      <c r="J27" s="15">
        <v>1040000</v>
      </c>
      <c r="K27" s="15"/>
      <c r="L27" s="15">
        <v>4000000</v>
      </c>
      <c r="M27" s="15"/>
      <c r="N27" s="13"/>
      <c r="O27" s="26"/>
      <c r="P27" s="30" t="s">
        <v>74</v>
      </c>
      <c r="Q27" s="49"/>
      <c r="R27" s="51" t="s">
        <v>35</v>
      </c>
      <c r="S27" s="51" t="s">
        <v>35</v>
      </c>
      <c r="T27" s="51" t="s">
        <v>35</v>
      </c>
      <c r="U27" s="51"/>
      <c r="V27" s="3"/>
    </row>
    <row r="28" spans="1:22">
      <c r="A28" s="82"/>
      <c r="B28" s="83"/>
      <c r="C28" s="83"/>
      <c r="D28" s="83"/>
      <c r="E28" s="84"/>
      <c r="F28" s="33" t="s">
        <v>32</v>
      </c>
      <c r="G28" s="32">
        <v>1500</v>
      </c>
      <c r="H28" s="32"/>
      <c r="I28" s="15">
        <f>$I$27/$G$28</f>
        <v>160</v>
      </c>
      <c r="J28" s="15">
        <v>180</v>
      </c>
      <c r="K28" s="15"/>
      <c r="L28" s="15">
        <v>185</v>
      </c>
      <c r="M28" s="15"/>
      <c r="N28" s="11"/>
      <c r="O28" s="24"/>
      <c r="P28" s="30" t="s">
        <v>75</v>
      </c>
      <c r="Q28" s="49"/>
      <c r="R28" s="51" t="s">
        <v>35</v>
      </c>
      <c r="S28" s="51" t="s">
        <v>35</v>
      </c>
      <c r="T28" s="51" t="s">
        <v>35</v>
      </c>
      <c r="U28" s="51"/>
      <c r="V28" s="3"/>
    </row>
    <row r="29" spans="1:22">
      <c r="A29" s="82"/>
      <c r="B29" s="83"/>
      <c r="C29" s="83"/>
      <c r="D29" s="83"/>
      <c r="E29" s="84"/>
      <c r="F29" s="33" t="s">
        <v>76</v>
      </c>
      <c r="G29" s="32">
        <v>1200</v>
      </c>
      <c r="H29" s="32"/>
      <c r="I29" s="15">
        <f>$I$27/$G$29</f>
        <v>200</v>
      </c>
      <c r="J29" s="15">
        <v>190</v>
      </c>
      <c r="K29" s="15"/>
      <c r="L29" s="15">
        <v>200</v>
      </c>
      <c r="M29" s="15"/>
      <c r="N29" s="19"/>
      <c r="O29" s="24"/>
      <c r="P29" s="30" t="s">
        <v>77</v>
      </c>
      <c r="Q29" s="49"/>
      <c r="R29" s="51" t="s">
        <v>35</v>
      </c>
      <c r="S29" s="51" t="s">
        <v>35</v>
      </c>
      <c r="T29" s="51" t="s">
        <v>35</v>
      </c>
      <c r="U29" s="51"/>
      <c r="V29" s="3"/>
    </row>
    <row r="30" spans="1:22">
      <c r="A30" s="82"/>
      <c r="B30" s="83"/>
      <c r="C30" s="83"/>
      <c r="D30" s="83"/>
      <c r="E30" s="84"/>
      <c r="F30" s="33"/>
      <c r="G30" s="32"/>
      <c r="H30" s="32"/>
      <c r="I30" s="32"/>
      <c r="J30" s="32"/>
      <c r="K30" s="32"/>
      <c r="L30" s="32"/>
      <c r="M30" s="32"/>
      <c r="N30" s="11"/>
      <c r="O30" s="26"/>
      <c r="P30" s="30"/>
      <c r="Q30" s="49"/>
      <c r="R30" s="51"/>
      <c r="S30" s="51"/>
      <c r="T30" s="51"/>
      <c r="U30" s="51"/>
      <c r="V30" s="3"/>
    </row>
    <row r="31" spans="1:22">
      <c r="A31" s="5"/>
      <c r="B31" s="32"/>
      <c r="C31" s="32"/>
      <c r="D31" s="32"/>
      <c r="E31" s="6"/>
      <c r="F31" s="33" t="s">
        <v>78</v>
      </c>
      <c r="I31" s="44">
        <v>0.6</v>
      </c>
      <c r="J31" s="44">
        <v>0.7</v>
      </c>
      <c r="K31" s="44"/>
      <c r="L31" s="44">
        <v>0.7</v>
      </c>
      <c r="M31" s="44"/>
      <c r="N31" s="11"/>
      <c r="O31" s="26"/>
      <c r="P31" s="17" t="s">
        <v>79</v>
      </c>
      <c r="R31" s="51" t="s">
        <v>35</v>
      </c>
      <c r="S31" s="51" t="s">
        <v>35</v>
      </c>
      <c r="T31" s="51" t="s">
        <v>35</v>
      </c>
      <c r="U31" s="51"/>
      <c r="V31" s="3"/>
    </row>
    <row r="32" spans="1:22">
      <c r="A32" s="7"/>
      <c r="B32" s="8"/>
      <c r="C32" s="8"/>
      <c r="D32" s="8"/>
      <c r="E32" s="9"/>
      <c r="F32" s="32"/>
      <c r="G32" s="32"/>
      <c r="H32" s="32"/>
      <c r="I32" s="32"/>
      <c r="J32" s="32"/>
      <c r="K32" s="32"/>
      <c r="L32" s="32"/>
      <c r="M32" s="32"/>
      <c r="N32" s="7"/>
      <c r="O32" s="9"/>
      <c r="P32" s="17"/>
      <c r="V32" s="3"/>
    </row>
    <row r="33" spans="1:22" ht="18">
      <c r="A33" s="88" t="s">
        <v>80</v>
      </c>
      <c r="B33" s="89"/>
      <c r="C33" s="77" t="s">
        <v>81</v>
      </c>
      <c r="D33" s="77"/>
      <c r="E33" s="78"/>
      <c r="F33" s="4" t="s">
        <v>82</v>
      </c>
      <c r="G33" s="1"/>
      <c r="H33" s="1"/>
      <c r="I33" s="1"/>
      <c r="J33" s="1"/>
      <c r="K33" s="77" t="s">
        <v>9</v>
      </c>
      <c r="L33" s="77"/>
      <c r="M33" s="78"/>
      <c r="N33" s="98" t="s">
        <v>83</v>
      </c>
      <c r="O33" s="99" t="s">
        <v>84</v>
      </c>
      <c r="P33" s="108" t="s">
        <v>85</v>
      </c>
      <c r="Q33" s="109"/>
      <c r="R33" s="110"/>
      <c r="S33" s="111" t="s">
        <v>86</v>
      </c>
      <c r="T33" s="111"/>
      <c r="U33" s="111"/>
      <c r="V33" s="112"/>
    </row>
    <row r="34" spans="1:22">
      <c r="A34" s="90"/>
      <c r="B34" s="91"/>
      <c r="C34" s="92" t="s">
        <v>14</v>
      </c>
      <c r="D34" s="92"/>
      <c r="E34" s="92"/>
      <c r="F34" s="5"/>
      <c r="I34" s="35" t="s">
        <v>17</v>
      </c>
      <c r="J34" s="68" t="s">
        <v>87</v>
      </c>
      <c r="M34" s="3"/>
      <c r="N34" s="100">
        <v>46023</v>
      </c>
      <c r="O34" s="101"/>
      <c r="P34" s="113"/>
      <c r="Q34" s="114"/>
      <c r="R34" s="114"/>
      <c r="S34" s="114"/>
      <c r="T34" s="114"/>
      <c r="U34" s="114"/>
      <c r="V34" s="115"/>
    </row>
    <row r="35" spans="1:22">
      <c r="A35" s="90"/>
      <c r="B35" s="91"/>
      <c r="C35" s="93" t="s">
        <v>17</v>
      </c>
      <c r="D35" s="94" t="s">
        <v>18</v>
      </c>
      <c r="E35" s="93" t="s">
        <v>19</v>
      </c>
      <c r="F35" s="18" t="s">
        <v>88</v>
      </c>
      <c r="I35" s="67">
        <v>0.95</v>
      </c>
      <c r="J35" s="69">
        <v>0.2</v>
      </c>
      <c r="L35" s="33" t="s">
        <v>89</v>
      </c>
      <c r="M35" s="6"/>
      <c r="N35" s="102" t="s">
        <v>90</v>
      </c>
      <c r="O35" s="103">
        <v>48</v>
      </c>
      <c r="P35" s="116" t="s">
        <v>91</v>
      </c>
      <c r="Q35" s="114"/>
      <c r="R35" s="114"/>
      <c r="S35" s="114"/>
      <c r="T35" s="114"/>
      <c r="U35" s="114"/>
      <c r="V35" s="115"/>
    </row>
    <row r="36" spans="1:22">
      <c r="A36" s="90" t="s">
        <v>92</v>
      </c>
      <c r="B36" s="95">
        <v>0.81</v>
      </c>
      <c r="C36" s="96" t="s">
        <v>93</v>
      </c>
      <c r="D36" s="96"/>
      <c r="E36" s="96"/>
      <c r="F36" s="5"/>
      <c r="G36" s="32"/>
      <c r="H36" s="32"/>
      <c r="I36" s="32"/>
      <c r="J36" s="70"/>
      <c r="L36" s="33" t="s">
        <v>94</v>
      </c>
      <c r="M36" s="3"/>
      <c r="N36" s="101"/>
      <c r="O36" s="101"/>
      <c r="P36" s="113"/>
      <c r="Q36" s="114"/>
      <c r="R36" s="117" t="s">
        <v>95</v>
      </c>
      <c r="S36" s="117" t="s">
        <v>96</v>
      </c>
      <c r="T36" s="114"/>
      <c r="U36" s="114"/>
      <c r="V36" s="115"/>
    </row>
    <row r="37" spans="1:22">
      <c r="A37" s="90"/>
      <c r="B37" s="91"/>
      <c r="C37" s="96"/>
      <c r="D37" s="96"/>
      <c r="E37" s="96"/>
      <c r="F37" s="18" t="s">
        <v>97</v>
      </c>
      <c r="G37" s="32"/>
      <c r="H37" s="32"/>
      <c r="I37" s="65">
        <v>0.95</v>
      </c>
      <c r="J37" s="69">
        <v>1</v>
      </c>
      <c r="M37" s="3"/>
      <c r="N37" s="104" t="s">
        <v>98</v>
      </c>
      <c r="O37" s="105" t="s">
        <v>99</v>
      </c>
      <c r="P37" s="118" t="s">
        <v>100</v>
      </c>
      <c r="Q37" s="119"/>
      <c r="R37" s="120">
        <v>10</v>
      </c>
      <c r="S37" s="121">
        <f>10/220</f>
        <v>4.5454545454545456E-2</v>
      </c>
      <c r="T37" s="114"/>
      <c r="U37" s="114"/>
      <c r="V37" s="115"/>
    </row>
    <row r="38" spans="1:22">
      <c r="A38" s="90"/>
      <c r="B38" s="91"/>
      <c r="C38" s="96"/>
      <c r="D38" s="96"/>
      <c r="E38" s="96"/>
      <c r="F38" s="5"/>
      <c r="G38" s="32"/>
      <c r="H38" s="32"/>
      <c r="I38" s="32"/>
      <c r="J38" s="70"/>
      <c r="L38" s="10" t="s">
        <v>101</v>
      </c>
      <c r="M38" s="48" t="s">
        <v>87</v>
      </c>
      <c r="N38" s="104" t="s">
        <v>102</v>
      </c>
      <c r="O38" s="105" t="s">
        <v>99</v>
      </c>
      <c r="P38" s="118" t="s">
        <v>103</v>
      </c>
      <c r="Q38" s="119"/>
      <c r="R38" s="122">
        <v>6</v>
      </c>
      <c r="S38" s="123">
        <v>0.03</v>
      </c>
      <c r="T38" s="114"/>
      <c r="U38" s="114"/>
      <c r="V38" s="115"/>
    </row>
    <row r="39" spans="1:22">
      <c r="A39" s="90" t="s">
        <v>104</v>
      </c>
      <c r="B39" s="95">
        <f>SUM(B40:B45)</f>
        <v>12</v>
      </c>
      <c r="C39" s="96" t="s">
        <v>93</v>
      </c>
      <c r="D39" s="96"/>
      <c r="E39" s="96"/>
      <c r="F39" s="18" t="s">
        <v>105</v>
      </c>
      <c r="I39" s="66">
        <v>1.05</v>
      </c>
      <c r="J39" s="69">
        <v>0.9</v>
      </c>
      <c r="L39" s="73">
        <v>0.72899999999999998</v>
      </c>
      <c r="M39" s="71">
        <v>0.8</v>
      </c>
      <c r="N39" s="104" t="s">
        <v>106</v>
      </c>
      <c r="O39" s="105" t="s">
        <v>99</v>
      </c>
      <c r="P39" s="118" t="s">
        <v>107</v>
      </c>
      <c r="Q39" s="119"/>
      <c r="R39" s="122">
        <v>3</v>
      </c>
      <c r="S39" s="123">
        <v>1.4999999999999999E-2</v>
      </c>
      <c r="T39" s="114"/>
      <c r="U39" s="114"/>
      <c r="V39" s="115"/>
    </row>
    <row r="40" spans="1:22">
      <c r="A40" s="97" t="s">
        <v>108</v>
      </c>
      <c r="B40" s="91">
        <v>4</v>
      </c>
      <c r="C40" s="96"/>
      <c r="D40" s="96"/>
      <c r="E40" s="96"/>
      <c r="F40" s="17"/>
      <c r="M40" s="3"/>
      <c r="N40" s="104" t="s">
        <v>109</v>
      </c>
      <c r="O40" s="105" t="s">
        <v>110</v>
      </c>
      <c r="P40" s="118" t="s">
        <v>111</v>
      </c>
      <c r="Q40" s="119"/>
      <c r="R40" s="120">
        <v>2.16</v>
      </c>
      <c r="S40" s="121">
        <v>9.7999999999999997E-3</v>
      </c>
      <c r="T40" s="114"/>
      <c r="U40" s="114"/>
      <c r="V40" s="115"/>
    </row>
    <row r="41" spans="1:22">
      <c r="A41" s="97" t="s">
        <v>112</v>
      </c>
      <c r="B41" s="91">
        <v>2</v>
      </c>
      <c r="C41" s="96"/>
      <c r="D41" s="96"/>
      <c r="E41" s="96"/>
      <c r="F41" s="31" t="s">
        <v>113</v>
      </c>
      <c r="G41" s="33" t="s">
        <v>114</v>
      </c>
      <c r="H41" s="33"/>
      <c r="I41" s="33" t="s">
        <v>115</v>
      </c>
      <c r="J41" s="33" t="s">
        <v>116</v>
      </c>
      <c r="K41" s="33"/>
      <c r="L41" s="33" t="s">
        <v>117</v>
      </c>
      <c r="M41" s="22" t="s">
        <v>118</v>
      </c>
      <c r="N41" s="104" t="s">
        <v>119</v>
      </c>
      <c r="O41" s="105" t="s">
        <v>99</v>
      </c>
      <c r="P41" s="118" t="s">
        <v>120</v>
      </c>
      <c r="Q41" s="119"/>
      <c r="R41" s="122" t="s">
        <v>121</v>
      </c>
      <c r="S41" s="123" t="s">
        <v>122</v>
      </c>
      <c r="T41" s="114"/>
      <c r="U41" s="114"/>
      <c r="V41" s="115"/>
    </row>
    <row r="42" spans="1:22">
      <c r="A42" s="97" t="s">
        <v>123</v>
      </c>
      <c r="B42" s="91">
        <v>0</v>
      </c>
      <c r="C42" s="96"/>
      <c r="D42" s="96"/>
      <c r="E42" s="96"/>
      <c r="F42" s="11" t="s">
        <v>124</v>
      </c>
      <c r="G42" s="54">
        <v>168160</v>
      </c>
      <c r="H42" s="54"/>
      <c r="I42" s="54">
        <v>138335</v>
      </c>
      <c r="J42" s="54">
        <v>138475</v>
      </c>
      <c r="K42" s="54"/>
      <c r="L42" s="54">
        <v>276810</v>
      </c>
      <c r="M42" s="55">
        <v>29825</v>
      </c>
      <c r="N42" s="104" t="s">
        <v>125</v>
      </c>
      <c r="O42" s="105" t="s">
        <v>99</v>
      </c>
      <c r="P42" s="118"/>
      <c r="Q42" s="119"/>
      <c r="R42" s="120"/>
      <c r="S42" s="121"/>
      <c r="T42" s="114"/>
      <c r="U42" s="114"/>
      <c r="V42" s="115"/>
    </row>
    <row r="43" spans="1:22">
      <c r="A43" s="97" t="s">
        <v>126</v>
      </c>
      <c r="B43" s="91">
        <v>1</v>
      </c>
      <c r="C43" s="96"/>
      <c r="D43" s="96"/>
      <c r="E43" s="96"/>
      <c r="F43" s="11" t="s">
        <v>127</v>
      </c>
      <c r="G43" s="54">
        <v>5400</v>
      </c>
      <c r="H43" s="54"/>
      <c r="I43" s="54">
        <v>5400</v>
      </c>
      <c r="J43" s="54">
        <v>19330</v>
      </c>
      <c r="K43" s="54"/>
      <c r="L43" s="54">
        <v>24730</v>
      </c>
      <c r="M43" s="55">
        <v>0</v>
      </c>
      <c r="N43" s="104" t="s">
        <v>128</v>
      </c>
      <c r="O43" s="105" t="s">
        <v>99</v>
      </c>
      <c r="P43" s="118"/>
      <c r="Q43" s="119"/>
      <c r="R43" s="120"/>
      <c r="S43" s="121"/>
      <c r="T43" s="114"/>
      <c r="U43" s="114"/>
      <c r="V43" s="115"/>
    </row>
    <row r="44" spans="1:22">
      <c r="A44" s="97" t="s">
        <v>129</v>
      </c>
      <c r="B44" s="91">
        <v>2</v>
      </c>
      <c r="C44" s="96"/>
      <c r="D44" s="96"/>
      <c r="E44" s="96"/>
      <c r="F44" s="11" t="s">
        <v>130</v>
      </c>
      <c r="G44" s="54">
        <v>11300</v>
      </c>
      <c r="H44" s="54"/>
      <c r="I44" s="54">
        <v>11300</v>
      </c>
      <c r="J44" s="54">
        <v>5600</v>
      </c>
      <c r="K44" s="54"/>
      <c r="L44" s="54">
        <v>16900</v>
      </c>
      <c r="M44" s="55">
        <v>0</v>
      </c>
      <c r="N44" s="104" t="s">
        <v>131</v>
      </c>
      <c r="O44" s="105" t="s">
        <v>99</v>
      </c>
      <c r="P44" s="118"/>
      <c r="Q44" s="119"/>
      <c r="R44" s="120"/>
      <c r="S44" s="121"/>
      <c r="T44" s="114"/>
      <c r="U44" s="114"/>
      <c r="V44" s="115"/>
    </row>
    <row r="45" spans="1:22">
      <c r="A45" s="97" t="s">
        <v>132</v>
      </c>
      <c r="B45" s="91">
        <v>3</v>
      </c>
      <c r="C45" s="96"/>
      <c r="D45" s="96"/>
      <c r="E45" s="96"/>
      <c r="F45" s="18" t="s">
        <v>133</v>
      </c>
      <c r="G45" s="54">
        <v>850</v>
      </c>
      <c r="H45" s="54"/>
      <c r="I45" s="54">
        <v>850</v>
      </c>
      <c r="J45" s="54">
        <v>0</v>
      </c>
      <c r="K45" s="54"/>
      <c r="L45" s="54">
        <v>850</v>
      </c>
      <c r="M45" s="55">
        <v>0</v>
      </c>
      <c r="N45" s="104" t="s">
        <v>134</v>
      </c>
      <c r="O45" s="105" t="s">
        <v>99</v>
      </c>
      <c r="P45" s="113"/>
      <c r="Q45" s="114"/>
      <c r="R45" s="114"/>
      <c r="S45" s="114"/>
      <c r="T45" s="114"/>
      <c r="U45" s="114"/>
      <c r="V45" s="115"/>
    </row>
    <row r="46" spans="1:22">
      <c r="A46" s="90" t="s">
        <v>135</v>
      </c>
      <c r="B46" s="95">
        <f>SUM(B47:B52)</f>
        <v>7</v>
      </c>
      <c r="C46" s="96" t="s">
        <v>93</v>
      </c>
      <c r="D46" s="96"/>
      <c r="E46" s="96"/>
      <c r="F46" s="34" t="s">
        <v>136</v>
      </c>
      <c r="G46" s="54">
        <v>6200</v>
      </c>
      <c r="H46" s="54"/>
      <c r="I46" s="54">
        <v>4500</v>
      </c>
      <c r="J46" s="54">
        <v>4200</v>
      </c>
      <c r="K46" s="54"/>
      <c r="L46" s="54">
        <v>8700</v>
      </c>
      <c r="M46" s="55">
        <v>1700</v>
      </c>
      <c r="N46" s="104" t="s">
        <v>137</v>
      </c>
      <c r="O46" s="105" t="s">
        <v>99</v>
      </c>
      <c r="P46" s="113"/>
      <c r="Q46" s="114"/>
      <c r="R46" s="114"/>
      <c r="S46" s="114"/>
      <c r="T46" s="114"/>
      <c r="U46" s="114"/>
      <c r="V46" s="115"/>
    </row>
    <row r="47" spans="1:22">
      <c r="A47" s="97" t="s">
        <v>108</v>
      </c>
      <c r="B47" s="91">
        <v>0</v>
      </c>
      <c r="C47" s="96"/>
      <c r="D47" s="96"/>
      <c r="E47" s="96"/>
      <c r="F47" s="34" t="s">
        <v>138</v>
      </c>
      <c r="G47" s="54">
        <v>2200</v>
      </c>
      <c r="H47" s="54"/>
      <c r="I47" s="54">
        <v>2200</v>
      </c>
      <c r="J47" s="54">
        <v>0</v>
      </c>
      <c r="K47" s="54"/>
      <c r="L47" s="54">
        <v>2200</v>
      </c>
      <c r="M47" s="55">
        <v>0</v>
      </c>
      <c r="N47" s="106"/>
      <c r="O47" s="106"/>
      <c r="P47" s="113"/>
      <c r="Q47" s="114"/>
      <c r="R47" s="114"/>
      <c r="S47" s="114"/>
      <c r="T47" s="114"/>
      <c r="U47" s="114"/>
      <c r="V47" s="115"/>
    </row>
    <row r="48" spans="1:22">
      <c r="A48" s="97" t="s">
        <v>112</v>
      </c>
      <c r="B48" s="91">
        <v>2</v>
      </c>
      <c r="C48" s="96"/>
      <c r="D48" s="96"/>
      <c r="E48" s="96"/>
      <c r="F48" s="34" t="s">
        <v>139</v>
      </c>
      <c r="G48" s="54">
        <v>0</v>
      </c>
      <c r="H48" s="54"/>
      <c r="I48" s="54">
        <v>0</v>
      </c>
      <c r="J48" s="54">
        <v>900</v>
      </c>
      <c r="K48" s="54"/>
      <c r="L48" s="54">
        <v>900</v>
      </c>
      <c r="M48" s="55">
        <v>0</v>
      </c>
      <c r="N48" s="106"/>
      <c r="O48" s="106"/>
      <c r="P48" s="113"/>
      <c r="Q48" s="114"/>
      <c r="R48" s="114"/>
      <c r="S48" s="114"/>
      <c r="T48" s="114"/>
      <c r="U48" s="114"/>
      <c r="V48" s="115"/>
    </row>
    <row r="49" spans="1:22">
      <c r="A49" s="97" t="s">
        <v>123</v>
      </c>
      <c r="B49" s="91">
        <v>5</v>
      </c>
      <c r="C49" s="96"/>
      <c r="D49" s="96"/>
      <c r="E49" s="96"/>
      <c r="F49" s="34" t="s">
        <v>140</v>
      </c>
      <c r="G49" s="54">
        <v>2350</v>
      </c>
      <c r="H49" s="54"/>
      <c r="I49" s="54">
        <v>2350</v>
      </c>
      <c r="J49" s="54">
        <v>1850</v>
      </c>
      <c r="K49" s="54"/>
      <c r="L49" s="54">
        <v>4200</v>
      </c>
      <c r="M49" s="55">
        <v>0</v>
      </c>
      <c r="N49" s="106"/>
      <c r="O49" s="106"/>
      <c r="P49" s="113"/>
      <c r="Q49" s="114"/>
      <c r="R49" s="114"/>
      <c r="S49" s="114"/>
      <c r="T49" s="114"/>
      <c r="U49" s="114"/>
      <c r="V49" s="115"/>
    </row>
    <row r="50" spans="1:22">
      <c r="A50" s="97" t="s">
        <v>126</v>
      </c>
      <c r="B50" s="91">
        <v>0</v>
      </c>
      <c r="C50" s="96"/>
      <c r="D50" s="96"/>
      <c r="E50" s="96"/>
      <c r="F50" s="34" t="s">
        <v>141</v>
      </c>
      <c r="G50" s="54">
        <v>5835</v>
      </c>
      <c r="H50" s="54"/>
      <c r="I50" s="54">
        <v>5835</v>
      </c>
      <c r="J50" s="54">
        <v>0</v>
      </c>
      <c r="K50" s="54"/>
      <c r="L50" s="54">
        <v>5835</v>
      </c>
      <c r="M50" s="55">
        <v>0</v>
      </c>
      <c r="N50" s="106"/>
      <c r="O50" s="106"/>
      <c r="P50" s="113"/>
      <c r="Q50" s="114"/>
      <c r="R50" s="114"/>
      <c r="S50" s="114"/>
      <c r="T50" s="114"/>
      <c r="U50" s="114"/>
      <c r="V50" s="115"/>
    </row>
    <row r="51" spans="1:22">
      <c r="A51" s="97" t="s">
        <v>129</v>
      </c>
      <c r="B51" s="91">
        <v>0</v>
      </c>
      <c r="C51" s="96"/>
      <c r="D51" s="96"/>
      <c r="E51" s="96"/>
      <c r="F51" s="17"/>
      <c r="M51" s="3"/>
      <c r="N51" s="106"/>
      <c r="O51" s="106"/>
      <c r="P51" s="113"/>
      <c r="Q51" s="114"/>
      <c r="R51" s="114"/>
      <c r="S51" s="114"/>
      <c r="T51" s="114"/>
      <c r="U51" s="114"/>
      <c r="V51" s="115"/>
    </row>
    <row r="52" spans="1:22">
      <c r="A52" s="97" t="s">
        <v>132</v>
      </c>
      <c r="B52" s="91">
        <v>0</v>
      </c>
      <c r="C52" s="96"/>
      <c r="D52" s="96"/>
      <c r="E52" s="96"/>
      <c r="F52" s="56" t="s">
        <v>142</v>
      </c>
      <c r="G52" s="57">
        <v>202295</v>
      </c>
      <c r="H52" s="57"/>
      <c r="I52" s="57">
        <v>170770</v>
      </c>
      <c r="J52" s="57">
        <v>170355</v>
      </c>
      <c r="K52" s="57"/>
      <c r="L52" s="57">
        <v>341125</v>
      </c>
      <c r="M52" s="58">
        <v>31525</v>
      </c>
      <c r="N52" s="106"/>
      <c r="O52" s="106"/>
      <c r="P52" s="113"/>
      <c r="Q52" s="114"/>
      <c r="R52" s="114"/>
      <c r="S52" s="114"/>
      <c r="T52" s="114"/>
      <c r="U52" s="114"/>
      <c r="V52" s="115"/>
    </row>
    <row r="53" spans="1:22">
      <c r="A53" s="7"/>
      <c r="B53" s="8"/>
      <c r="C53" s="8"/>
      <c r="D53" s="8"/>
      <c r="E53" s="8"/>
      <c r="F53" s="7"/>
      <c r="G53" s="8"/>
      <c r="H53" s="8"/>
      <c r="I53" s="8"/>
      <c r="J53" s="8"/>
      <c r="K53" s="8"/>
      <c r="L53" s="8"/>
      <c r="M53" s="9"/>
      <c r="N53" s="107"/>
      <c r="O53" s="107"/>
      <c r="P53" s="124"/>
      <c r="Q53" s="125"/>
      <c r="R53" s="125"/>
      <c r="S53" s="125"/>
      <c r="T53" s="125"/>
      <c r="U53" s="125"/>
      <c r="V53" s="126"/>
    </row>
  </sheetData>
  <mergeCells count="19">
    <mergeCell ref="C46:E52"/>
    <mergeCell ref="A22:E30"/>
    <mergeCell ref="G20:L20"/>
    <mergeCell ref="G7:L7"/>
    <mergeCell ref="G25:L25"/>
    <mergeCell ref="B7:D7"/>
    <mergeCell ref="C34:E34"/>
    <mergeCell ref="C36:E38"/>
    <mergeCell ref="C39:E45"/>
    <mergeCell ref="C33:E33"/>
    <mergeCell ref="K6:M6"/>
    <mergeCell ref="R6:T6"/>
    <mergeCell ref="K33:M33"/>
    <mergeCell ref="A1:F1"/>
    <mergeCell ref="A3:E3"/>
    <mergeCell ref="F3:M3"/>
    <mergeCell ref="A4:B4"/>
    <mergeCell ref="C6:E6"/>
    <mergeCell ref="S33:V33"/>
  </mergeCells>
  <phoneticPr fontId="6" type="noConversion"/>
  <printOptions horizontalCentered="1" verticalCentered="1"/>
  <pageMargins left="0.25" right="0.25" top="0.75" bottom="0.75" header="0.3" footer="0.3"/>
  <pageSetup scale="4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C799-6683-4E5B-8CE1-1D13C99E0ABF}">
  <dimension ref="A1:D37"/>
  <sheetViews>
    <sheetView workbookViewId="0">
      <selection activeCell="D33" sqref="A33:D35"/>
    </sheetView>
  </sheetViews>
  <sheetFormatPr defaultRowHeight="15"/>
  <cols>
    <col min="1" max="1" width="10.85546875" bestFit="1" customWidth="1"/>
  </cols>
  <sheetData>
    <row r="1" spans="1:4">
      <c r="A1" t="s">
        <v>143</v>
      </c>
      <c r="B1" t="s">
        <v>144</v>
      </c>
      <c r="C1" t="s">
        <v>145</v>
      </c>
      <c r="D1" t="s">
        <v>146</v>
      </c>
    </row>
    <row r="2" spans="1:4">
      <c r="A2">
        <v>144004507</v>
      </c>
      <c r="B2">
        <v>1</v>
      </c>
      <c r="C2">
        <v>2</v>
      </c>
      <c r="D2">
        <v>1</v>
      </c>
    </row>
    <row r="3" spans="1:4">
      <c r="A3">
        <v>144004521</v>
      </c>
      <c r="B3">
        <v>1</v>
      </c>
      <c r="C3">
        <v>154</v>
      </c>
      <c r="D3">
        <v>140.67599999999999</v>
      </c>
    </row>
    <row r="4" spans="1:4">
      <c r="A4">
        <v>144004538</v>
      </c>
      <c r="B4">
        <v>1</v>
      </c>
      <c r="C4">
        <v>128</v>
      </c>
      <c r="D4">
        <v>6.7839999999999998</v>
      </c>
    </row>
    <row r="5" spans="1:4">
      <c r="A5">
        <v>144004519</v>
      </c>
      <c r="B5">
        <v>1</v>
      </c>
      <c r="C5">
        <v>90</v>
      </c>
      <c r="D5">
        <v>80.424999999999997</v>
      </c>
    </row>
    <row r="6" spans="1:4">
      <c r="A6">
        <v>144004533</v>
      </c>
      <c r="B6">
        <v>1</v>
      </c>
      <c r="C6">
        <v>16</v>
      </c>
      <c r="D6">
        <v>7</v>
      </c>
    </row>
    <row r="7" spans="1:4">
      <c r="A7">
        <v>144004514</v>
      </c>
      <c r="B7">
        <v>1</v>
      </c>
      <c r="C7">
        <v>100</v>
      </c>
      <c r="D7">
        <v>43.697000000000003</v>
      </c>
    </row>
    <row r="8" spans="1:4">
      <c r="A8">
        <v>144004531</v>
      </c>
      <c r="B8">
        <v>1</v>
      </c>
      <c r="C8">
        <v>200</v>
      </c>
      <c r="D8">
        <v>43.1</v>
      </c>
    </row>
    <row r="9" spans="1:4">
      <c r="A9">
        <v>144004540</v>
      </c>
      <c r="B9">
        <v>1</v>
      </c>
      <c r="C9">
        <v>16</v>
      </c>
      <c r="D9">
        <v>7</v>
      </c>
    </row>
    <row r="10" spans="1:4">
      <c r="A10">
        <v>144004516</v>
      </c>
      <c r="B10">
        <v>1</v>
      </c>
      <c r="C10">
        <v>100</v>
      </c>
      <c r="D10">
        <v>58.448999999999998</v>
      </c>
    </row>
    <row r="11" spans="1:4">
      <c r="A11">
        <v>144004530</v>
      </c>
      <c r="B11">
        <v>1</v>
      </c>
      <c r="C11">
        <v>16</v>
      </c>
      <c r="D11">
        <v>9</v>
      </c>
    </row>
    <row r="12" spans="1:4">
      <c r="A12">
        <v>144004511</v>
      </c>
      <c r="B12">
        <v>1</v>
      </c>
      <c r="C12">
        <v>120</v>
      </c>
      <c r="D12">
        <v>69.501999999999995</v>
      </c>
    </row>
    <row r="13" spans="1:4">
      <c r="A13">
        <v>144004528</v>
      </c>
      <c r="B13">
        <v>1</v>
      </c>
      <c r="C13">
        <v>69</v>
      </c>
      <c r="D13">
        <v>67.349999999999994</v>
      </c>
    </row>
    <row r="14" spans="1:4">
      <c r="A14">
        <v>144004523</v>
      </c>
      <c r="B14">
        <v>1</v>
      </c>
      <c r="C14">
        <v>223</v>
      </c>
      <c r="D14">
        <v>204.22300000000001</v>
      </c>
    </row>
    <row r="15" spans="1:4">
      <c r="A15">
        <v>144004527</v>
      </c>
      <c r="B15">
        <v>1</v>
      </c>
      <c r="C15">
        <v>2</v>
      </c>
      <c r="D15">
        <v>1</v>
      </c>
    </row>
    <row r="16" spans="1:4">
      <c r="A16">
        <v>144004544</v>
      </c>
      <c r="B16">
        <v>1</v>
      </c>
      <c r="C16">
        <v>107</v>
      </c>
      <c r="D16">
        <v>27.108000000000001</v>
      </c>
    </row>
    <row r="17" spans="1:4">
      <c r="A17">
        <v>144004518</v>
      </c>
      <c r="B17">
        <v>1</v>
      </c>
      <c r="C17">
        <v>2</v>
      </c>
      <c r="D17">
        <v>1</v>
      </c>
    </row>
    <row r="18" spans="1:4">
      <c r="A18">
        <v>144004539</v>
      </c>
      <c r="B18">
        <v>1</v>
      </c>
      <c r="C18">
        <v>102</v>
      </c>
      <c r="D18">
        <v>72.86</v>
      </c>
    </row>
    <row r="19" spans="1:4">
      <c r="A19">
        <v>144004537</v>
      </c>
      <c r="B19">
        <v>1</v>
      </c>
      <c r="C19">
        <v>2</v>
      </c>
      <c r="D19">
        <v>1</v>
      </c>
    </row>
    <row r="20" spans="1:4">
      <c r="A20">
        <v>144004525</v>
      </c>
      <c r="B20">
        <v>1</v>
      </c>
      <c r="C20">
        <v>31</v>
      </c>
      <c r="D20">
        <v>13.567</v>
      </c>
    </row>
    <row r="21" spans="1:4">
      <c r="A21">
        <v>144004532</v>
      </c>
      <c r="B21">
        <v>1</v>
      </c>
      <c r="C21">
        <v>32</v>
      </c>
      <c r="D21">
        <v>6.5</v>
      </c>
    </row>
    <row r="22" spans="1:4">
      <c r="A22">
        <v>144004506</v>
      </c>
      <c r="B22">
        <v>1</v>
      </c>
      <c r="C22">
        <v>73</v>
      </c>
      <c r="D22">
        <v>20.533999999999999</v>
      </c>
    </row>
    <row r="23" spans="1:4">
      <c r="A23">
        <v>144004520</v>
      </c>
      <c r="B23">
        <v>1</v>
      </c>
      <c r="C23">
        <v>8</v>
      </c>
      <c r="D23">
        <v>1.5</v>
      </c>
    </row>
    <row r="24" spans="1:4">
      <c r="A24">
        <v>144004524</v>
      </c>
      <c r="B24">
        <v>1</v>
      </c>
      <c r="C24">
        <v>335</v>
      </c>
      <c r="D24">
        <v>300.17899999999997</v>
      </c>
    </row>
    <row r="25" spans="1:4">
      <c r="A25">
        <v>144004515</v>
      </c>
      <c r="B25">
        <v>1</v>
      </c>
      <c r="C25">
        <v>90</v>
      </c>
      <c r="D25">
        <v>40.164999999999999</v>
      </c>
    </row>
    <row r="26" spans="1:4">
      <c r="A26">
        <v>144004522</v>
      </c>
      <c r="B26">
        <v>1</v>
      </c>
      <c r="C26">
        <v>2</v>
      </c>
      <c r="D26">
        <v>1</v>
      </c>
    </row>
    <row r="27" spans="1:4">
      <c r="A27">
        <v>144004536</v>
      </c>
      <c r="B27">
        <v>1</v>
      </c>
      <c r="C27">
        <v>90</v>
      </c>
      <c r="D27">
        <v>60.954999999999998</v>
      </c>
    </row>
    <row r="28" spans="1:4">
      <c r="A28">
        <v>144004517</v>
      </c>
      <c r="B28">
        <v>1</v>
      </c>
      <c r="C28">
        <v>100</v>
      </c>
      <c r="D28">
        <v>30.166</v>
      </c>
    </row>
    <row r="29" spans="1:4">
      <c r="A29">
        <v>144004534</v>
      </c>
      <c r="B29">
        <v>1</v>
      </c>
      <c r="C29">
        <v>55</v>
      </c>
      <c r="D29">
        <v>17.292999999999999</v>
      </c>
    </row>
    <row r="30" spans="1:4">
      <c r="A30">
        <v>144004505</v>
      </c>
      <c r="B30">
        <v>1</v>
      </c>
      <c r="C30">
        <v>100</v>
      </c>
      <c r="D30">
        <v>60.817</v>
      </c>
    </row>
    <row r="31" spans="1:4">
      <c r="A31">
        <v>144004529</v>
      </c>
      <c r="B31">
        <v>1</v>
      </c>
      <c r="C31">
        <v>31</v>
      </c>
      <c r="D31">
        <v>12.35</v>
      </c>
    </row>
    <row r="32" spans="1:4">
      <c r="A32">
        <v>144004543</v>
      </c>
      <c r="B32">
        <v>1</v>
      </c>
      <c r="C32">
        <v>56</v>
      </c>
      <c r="D32">
        <v>23.533999999999999</v>
      </c>
    </row>
    <row r="37" spans="3:4">
      <c r="C37">
        <f>SUM(C2:C36)</f>
        <v>2452</v>
      </c>
      <c r="D37">
        <f>SUM(D2:D36)</f>
        <v>1429.7339999999999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Grinberg, Val</dc:creator>
  <cp:keywords/>
  <dc:description/>
  <cp:lastModifiedBy/>
  <cp:revision/>
  <dcterms:created xsi:type="dcterms:W3CDTF">2026-01-19T01:20:23Z</dcterms:created>
  <dcterms:modified xsi:type="dcterms:W3CDTF">2026-02-17T20:03:39Z</dcterms:modified>
  <cp:category/>
  <cp:contentStatus/>
</cp:coreProperties>
</file>